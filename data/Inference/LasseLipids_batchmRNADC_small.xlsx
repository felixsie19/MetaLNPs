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<sst xmlns="http://schemas.openxmlformats.org/spreadsheetml/2006/main" count="39" uniqueCount="25">
  <si>
    <t xml:space="preserve">Lipid No.</t>
  </si>
  <si>
    <t xml:space="preserve">Cationic_Lipid_to_mRNA_weight_ratio</t>
  </si>
  <si>
    <t xml:space="preserve">SMILES</t>
  </si>
  <si>
    <t xml:space="preserve">Cationic_Lipid_Mol_Ratio</t>
  </si>
  <si>
    <t xml:space="preserve">Phospholipid_Mol_Ratio</t>
  </si>
  <si>
    <t xml:space="preserve">Cholesterol_Mol_Ratio</t>
  </si>
  <si>
    <t xml:space="preserve">PEG_Lipid_Mol_Ratio</t>
  </si>
  <si>
    <t xml:space="preserve">task_id</t>
  </si>
  <si>
    <t xml:space="preserve">TARGET</t>
  </si>
  <si>
    <t xml:space="preserve">O=C(OCCCCCCCC/C=C\C/C=C\CCCCC)CCN(CCC(OCCCCCCCC/C=C\C/C=C\CCCCC)=O)CCCN(C)CCCN(CCC(OCCCCCCCC/C=C\C/C=C\CCCCC)=O)CCC(OCCCCCCCC/C=C\C/C=C\CCCCC)=O</t>
  </si>
  <si>
    <t xml:space="preserve">Inf</t>
  </si>
  <si>
    <t xml:space="preserve">O=C(OCCCCCCCC/C=C\CCCCCCCC)CCN(CCC(OCCCCCCCC/C=C\CCCCCCCC)=O)CCCN(C)CCCN(CCC(OCCCCCCCC/C=C\CCCCCCCC)=O)CCC(OCCCCCCCC/C=C\CCCCCCCC)=O</t>
  </si>
  <si>
    <t xml:space="preserve">CN(CCCN(CCC(OCCCCCCCC/C=C\C/C=C\CCCCC)=O)CCCN(CCC(OCCCCCCCC/C=C\C/C=C\CCCCC)=O)CCC(OCCCCCCCC/C=C\C/C=C\CCCCC)=O)C</t>
  </si>
  <si>
    <t xml:space="preserve">O=C(CCN(CCC(OCCCCCCCC/C=C\CCCCCCCC)=O)CCCN(CCC(OCCCCCCCC/C=C\CCCCCCCC)=O)CCCN(C)C)OCCCCCCCC/C=C\CCCCCCCC</t>
  </si>
  <si>
    <t xml:space="preserve">CN(CCCN(CCC(OCCCCCCCCCCCC)=O)CCCN(CCC(OCCCCCCCCCCCC)=O)CCC(OCCCCCCCCCCCC)=O)C</t>
  </si>
  <si>
    <t xml:space="preserve">O=C(CCN(CCC(OCCCCCCCCCCCC)=O)CCCN(C)CCCN(CCC(OCCCCCCCCCCCC)=O)CCC(OCCCCCCCCCCCC)=O)OCCCCCCCCCCCC</t>
  </si>
  <si>
    <t xml:space="preserve">CN(CCC(OCCCCCCCCCCCC)=O)CCN(C)CCC(OCCCCCCCCCCCC)=O</t>
  </si>
  <si>
    <t xml:space="preserve">CCCCC/C=C\C/C=C\CCCCCCCCOC(CCN(C)CCN(C)CCC(OCCCCCCCC/C=C\C/C=C\CCCCC)=O)=O</t>
  </si>
  <si>
    <t xml:space="preserve">O=C(OCC#CC1=CC=CC=C1)CCN(CCC(OCC#CC2=CC=CC=C2)=O)CCCN(C)CCCN(CCC(OCC#CC3=CC=CC=C3)=O)CCC(OCC#CC4=CC=CC=C4)=O</t>
  </si>
  <si>
    <t xml:space="preserve">CN(C)CCCN(CCC(OCC#CC1=CC=CC=C1)=O)CCCN(CCC(OCC#CC2=CC=CC=C2)=O)CCC(OCC#CC3=CC=CC=C3)=O</t>
  </si>
  <si>
    <t xml:space="preserve">CCCCC/C=C\C/C=C\CCCCCCCCOC(CCN(CCC(OCCCCCCCC/C=C\C/C=C\CCCCC)=O)CCCN(CCCCN(CCC(OCCCCCCCC/C=C\C/C=C\CCCCC)=O)CCCN(CCC(OCCCCCCCC/C=C\C/C=C\CCCCC)=O)CCC(OCCCCCCCC/C=C\C/C=C\CCCCC)=O)CCC(OCCCCCCCC/C=C\C/C=C\CCCCC)=O)=O</t>
  </si>
  <si>
    <t xml:space="preserve">O=C(OCCCCCCCC/C=C\C/C=C\CCCCC)CCN(CCCCCCN(CCC(OCCCCCCCC/C=C\C/C=C\CCCCC)=O)CCC(OCCCCCCCC/C=C\C/C=C\CCCCC)=O)CCC(OCCCCCCCC/C=C\C/C=C\CCCCC)=O</t>
  </si>
  <si>
    <t xml:space="preserve">CCCCC/C=C\C/C=C\CCCCCCCCOC(CCN(CCN1CCOCC1)CCC(OCCCCCCCC/C=C\C/C=C\CCCCC)=O)=O</t>
  </si>
  <si>
    <t xml:space="preserve">O=C(OCCCCCCCC/C=C\C/C=C\CCCCC)CCN(CCC(OCCCCCCCC/C=C\C/C=C\CCCCC)=O)CCCN(CCC(OCCCCCCCC/C=C\C/C=C\CCCCC)=O)CCC(OCCCCCCCC/C=C\C/C=C\CCCCC)=O</t>
  </si>
  <si>
    <t xml:space="preserve">O=C(OCCCCCCCC/C=C\C/C=C\CCCCC)CCN(CCCCN(CCC(OCCCCCCCC/C=C\C/C=C\CCCCC)=O)CCC(OCCCCCCCC/C=C\C/C=C\CCCCC)=O)CCCN(CCC(OCCCCCCCC/C=C\C/C=C\CCCCC)=O)CCC(OCCCCCCCC/C=C\C/C=C\CCCCC)=O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</si>
</sst>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7" activeCellId="0" sqref="J27"/>
    </sheetView>
  </sheetViews>
  <sheetFormatPr defaultColWidth="11.58984375" defaultRowHeight="12.8" zeroHeight="false" outlineLevelRow="0" outlineLevelCol="0"/>
  <cols>
    <col collapsed="false" customWidth="true" hidden="false" outlineLevel="0" max="2" min="2" style="0" width="20.3"/>
    <col collapsed="false" customWidth="true" hidden="false" outlineLevel="0" max="3" min="3" style="0" width="9.5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customFormat="false" ht="12.8" hidden="false" customHeight="false" outlineLevel="0" collapsed="false">
      <c r="A2" s="0" t="n">
        <v>6</v>
      </c>
      <c r="B2" s="0" t="n">
        <v>79.06118907</v>
      </c>
      <c r="C2" s="0" t="s">
        <v>9</v>
      </c>
      <c r="D2" s="3" t="n">
        <v>0.5</v>
      </c>
      <c r="E2" s="3" t="n">
        <v>0.1</v>
      </c>
      <c r="F2" s="3" t="n">
        <v>0.385</v>
      </c>
      <c r="G2" s="3" t="n">
        <v>0.15</v>
      </c>
      <c r="H2" s="0" t="s">
        <v>10</v>
      </c>
      <c r="I2" s="0" t="n">
        <v>-0.792722</v>
      </c>
      <c r="K2" s="0" t="n">
        <v>6174</v>
      </c>
      <c r="L2" s="0" t="n">
        <v>5380</v>
      </c>
      <c r="M2" s="0" t="n">
        <v>2703</v>
      </c>
      <c r="N2" s="0" t="n">
        <f aca="false">AVERAGE(K2:M2)</f>
        <v>4752.33333333333</v>
      </c>
      <c r="O2" s="0" t="n">
        <f aca="false">LOG10(N2)</f>
        <v>3.67690689488353</v>
      </c>
    </row>
    <row r="3" customFormat="false" ht="12.8" hidden="false" customHeight="false" outlineLevel="0" collapsed="false">
      <c r="A3" s="0" t="n">
        <v>7</v>
      </c>
      <c r="B3" s="0" t="n">
        <v>79.50786558</v>
      </c>
      <c r="C3" s="0" t="s">
        <v>11</v>
      </c>
      <c r="D3" s="3" t="n">
        <v>0.5</v>
      </c>
      <c r="E3" s="3" t="n">
        <v>0.1</v>
      </c>
      <c r="F3" s="3" t="n">
        <v>0.385</v>
      </c>
      <c r="G3" s="3" t="n">
        <v>0.15</v>
      </c>
      <c r="H3" s="0" t="s">
        <v>10</v>
      </c>
      <c r="I3" s="0" t="n">
        <v>1.122034</v>
      </c>
      <c r="K3" s="0" t="n">
        <v>324544</v>
      </c>
      <c r="L3" s="0" t="n">
        <v>215483</v>
      </c>
      <c r="M3" s="0" t="n">
        <v>113124</v>
      </c>
      <c r="N3" s="0" t="n">
        <f aca="false">AVERAGE(K3:M3)</f>
        <v>217717</v>
      </c>
      <c r="O3" s="0" t="n">
        <f aca="false">LOG10(N3)</f>
        <v>5.33789234138809</v>
      </c>
    </row>
    <row r="4" customFormat="false" ht="12.8" hidden="false" customHeight="false" outlineLevel="0" collapsed="false">
      <c r="A4" s="0" t="n">
        <v>10</v>
      </c>
      <c r="B4" s="0" t="n">
        <v>62.08426883</v>
      </c>
      <c r="C4" s="0" t="s">
        <v>12</v>
      </c>
      <c r="D4" s="3" t="n">
        <v>0.5</v>
      </c>
      <c r="E4" s="3" t="n">
        <v>0.1</v>
      </c>
      <c r="F4" s="3" t="n">
        <v>0.385</v>
      </c>
      <c r="G4" s="3" t="n">
        <v>0.15</v>
      </c>
      <c r="H4" s="0" t="s">
        <v>10</v>
      </c>
      <c r="I4" s="0" t="n">
        <v>-0.627762</v>
      </c>
      <c r="K4" s="0" t="n">
        <v>5443</v>
      </c>
      <c r="L4" s="0" t="n">
        <v>6522</v>
      </c>
      <c r="M4" s="0" t="n">
        <v>7856</v>
      </c>
      <c r="N4" s="0" t="n">
        <f aca="false">AVERAGE(K4:M4)</f>
        <v>6607</v>
      </c>
      <c r="O4" s="0" t="n">
        <f aca="false">LOG10(N4)</f>
        <v>3.82000430680832</v>
      </c>
    </row>
    <row r="5" customFormat="false" ht="12.8" hidden="false" customHeight="false" outlineLevel="0" collapsed="false">
      <c r="A5" s="0" t="n">
        <v>11</v>
      </c>
      <c r="B5" s="0" t="n">
        <v>62.41927622</v>
      </c>
      <c r="C5" s="0" t="s">
        <v>13</v>
      </c>
      <c r="D5" s="3" t="n">
        <v>0.5</v>
      </c>
      <c r="E5" s="3" t="n">
        <v>0.1</v>
      </c>
      <c r="F5" s="3" t="n">
        <v>0.385</v>
      </c>
      <c r="G5" s="3" t="n">
        <v>0.15</v>
      </c>
      <c r="H5" s="0" t="s">
        <v>10</v>
      </c>
      <c r="I5" s="0" t="n">
        <v>1.107763</v>
      </c>
      <c r="K5" s="0" t="n">
        <v>105094</v>
      </c>
      <c r="L5" s="0" t="n">
        <v>349647</v>
      </c>
      <c r="M5" s="0" t="n">
        <v>180054</v>
      </c>
      <c r="N5" s="0" t="n">
        <f aca="false">AVERAGE(K5:M5)</f>
        <v>211598.333333333</v>
      </c>
      <c r="O5" s="0" t="n">
        <f aca="false">LOG10(N5)</f>
        <v>5.3255122426307</v>
      </c>
    </row>
    <row r="6" customFormat="false" ht="12.8" hidden="false" customHeight="false" outlineLevel="0" collapsed="false">
      <c r="A6" s="0" t="n">
        <v>13</v>
      </c>
      <c r="B6" s="0" t="n">
        <v>48.7687223</v>
      </c>
      <c r="C6" s="0" t="s">
        <v>14</v>
      </c>
      <c r="D6" s="3" t="n">
        <v>0.5</v>
      </c>
      <c r="E6" s="3" t="n">
        <v>0.1</v>
      </c>
      <c r="F6" s="3" t="n">
        <v>0.385</v>
      </c>
      <c r="G6" s="3" t="n">
        <v>0.15</v>
      </c>
      <c r="H6" s="0" t="s">
        <v>10</v>
      </c>
      <c r="I6" s="0" t="n">
        <v>-0.027282</v>
      </c>
      <c r="K6" s="0" t="n">
        <v>4927</v>
      </c>
      <c r="L6" s="0" t="n">
        <v>20578</v>
      </c>
      <c r="M6" s="0" t="n">
        <v>40264</v>
      </c>
      <c r="N6" s="0" t="n">
        <f aca="false">AVERAGE(K6:M6)</f>
        <v>21923</v>
      </c>
      <c r="O6" s="0" t="n">
        <f aca="false">LOG10(N6)</f>
        <v>4.34089998385871</v>
      </c>
    </row>
    <row r="7" customFormat="false" ht="12.8" hidden="false" customHeight="false" outlineLevel="0" collapsed="false">
      <c r="A7" s="0" t="n">
        <v>15</v>
      </c>
      <c r="B7" s="0" t="n">
        <v>61.30712703</v>
      </c>
      <c r="C7" s="0" t="s">
        <v>15</v>
      </c>
      <c r="D7" s="3" t="n">
        <v>0.5</v>
      </c>
      <c r="E7" s="3" t="n">
        <v>0.1</v>
      </c>
      <c r="F7" s="3" t="n">
        <v>0.385</v>
      </c>
      <c r="G7" s="3" t="n">
        <v>0.15</v>
      </c>
      <c r="H7" s="0" t="s">
        <v>10</v>
      </c>
      <c r="I7" s="0" t="n">
        <v>1.192252</v>
      </c>
      <c r="K7" s="0" t="n">
        <v>216203</v>
      </c>
      <c r="L7" s="0" t="n">
        <v>227637</v>
      </c>
      <c r="M7" s="0" t="n">
        <v>307653</v>
      </c>
      <c r="N7" s="0" t="n">
        <f aca="false">AVERAGE(K7:M7)</f>
        <v>250497.666666667</v>
      </c>
      <c r="O7" s="0" t="n">
        <f aca="false">LOG10(N7)</f>
        <v>5.39880368485991</v>
      </c>
    </row>
    <row r="8" customFormat="false" ht="12.8" hidden="false" customHeight="false" outlineLevel="0" collapsed="false">
      <c r="A8" s="0" t="n">
        <v>18</v>
      </c>
      <c r="B8" s="0" t="n">
        <v>31.51373708</v>
      </c>
      <c r="C8" s="0" t="s">
        <v>16</v>
      </c>
      <c r="D8" s="3" t="n">
        <v>0.5</v>
      </c>
      <c r="E8" s="3" t="n">
        <v>0.1</v>
      </c>
      <c r="F8" s="3" t="n">
        <v>0.385</v>
      </c>
      <c r="G8" s="3" t="n">
        <v>0.15</v>
      </c>
      <c r="H8" s="0" t="s">
        <v>10</v>
      </c>
      <c r="I8" s="0" t="n">
        <v>-0.02263</v>
      </c>
      <c r="K8" s="0" t="n">
        <v>1038</v>
      </c>
      <c r="L8" s="0" t="n">
        <v>2538</v>
      </c>
      <c r="M8" s="0" t="n">
        <v>62807</v>
      </c>
      <c r="N8" s="0" t="n">
        <f aca="false">AVERAGE(K8:M8)</f>
        <v>22127.6666666667</v>
      </c>
      <c r="O8" s="0" t="n">
        <f aca="false">LOG10(N8)</f>
        <v>4.34493562055999</v>
      </c>
    </row>
    <row r="9" customFormat="false" ht="12.8" hidden="false" customHeight="false" outlineLevel="0" collapsed="false">
      <c r="A9" s="0" t="n">
        <v>21</v>
      </c>
      <c r="B9" s="0" t="n">
        <v>40.39076809</v>
      </c>
      <c r="C9" s="0" t="s">
        <v>17</v>
      </c>
      <c r="D9" s="3" t="n">
        <v>0.5</v>
      </c>
      <c r="E9" s="3" t="n">
        <v>0.1</v>
      </c>
      <c r="F9" s="3" t="n">
        <v>0.385</v>
      </c>
      <c r="G9" s="3" t="n">
        <v>0.15</v>
      </c>
      <c r="H9" s="0" t="s">
        <v>10</v>
      </c>
      <c r="I9" s="0" t="n">
        <v>0.465691</v>
      </c>
      <c r="K9" s="0" t="n">
        <v>61959</v>
      </c>
      <c r="L9" s="0" t="n">
        <v>55443</v>
      </c>
      <c r="M9" s="0" t="n">
        <v>58657</v>
      </c>
      <c r="N9" s="0" t="n">
        <f aca="false">AVERAGE(K9:M9)</f>
        <v>58686.3333333333</v>
      </c>
      <c r="O9" s="0" t="n">
        <f aca="false">LOG10(N9)</f>
        <v>4.76853697605224</v>
      </c>
    </row>
    <row r="10" customFormat="false" ht="12.8" hidden="false" customHeight="false" outlineLevel="0" collapsed="false">
      <c r="A10" s="0" t="n">
        <v>34</v>
      </c>
      <c r="B10" s="0" t="n">
        <v>49.30336041</v>
      </c>
      <c r="C10" s="0" t="s">
        <v>18</v>
      </c>
      <c r="D10" s="3" t="n">
        <v>0.5</v>
      </c>
      <c r="E10" s="3" t="n">
        <v>0.1</v>
      </c>
      <c r="F10" s="3" t="n">
        <v>0.385</v>
      </c>
      <c r="G10" s="3" t="n">
        <v>0.15</v>
      </c>
      <c r="H10" s="0" t="s">
        <v>10</v>
      </c>
      <c r="I10" s="0" t="n">
        <v>-1.322944</v>
      </c>
      <c r="K10" s="0" t="n">
        <v>2076</v>
      </c>
      <c r="L10" s="0" t="n">
        <v>968</v>
      </c>
      <c r="M10" s="0" t="n">
        <v>1900</v>
      </c>
      <c r="N10" s="0" t="n">
        <f aca="false">AVERAGE(K10:M10)</f>
        <v>1648</v>
      </c>
      <c r="O10" s="0" t="n">
        <f aca="false">LOG10(N10)</f>
        <v>3.2169572073611</v>
      </c>
    </row>
    <row r="11" customFormat="false" ht="12.8" hidden="false" customHeight="false" outlineLevel="0" collapsed="false">
      <c r="A11" s="0" t="n">
        <v>40</v>
      </c>
      <c r="B11" s="0" t="n">
        <v>39.76589734</v>
      </c>
      <c r="C11" s="0" t="s">
        <v>19</v>
      </c>
      <c r="D11" s="3" t="n">
        <v>0.5</v>
      </c>
      <c r="E11" s="3" t="n">
        <v>0.1</v>
      </c>
      <c r="F11" s="3" t="n">
        <v>0.385</v>
      </c>
      <c r="G11" s="3" t="n">
        <v>0.15</v>
      </c>
      <c r="H11" s="0" t="s">
        <v>10</v>
      </c>
      <c r="I11" s="0" t="n">
        <v>-1.455229</v>
      </c>
      <c r="K11" s="0" t="n">
        <v>916</v>
      </c>
      <c r="L11" s="0" t="n">
        <v>971</v>
      </c>
      <c r="M11" s="0" t="n">
        <v>1909</v>
      </c>
      <c r="N11" s="0" t="n">
        <f aca="false">AVERAGE(K11:M11)</f>
        <v>1265.33333333333</v>
      </c>
      <c r="O11" s="0" t="n">
        <f aca="false">LOG10(N11)</f>
        <v>3.10220494903559</v>
      </c>
    </row>
    <row r="12" customFormat="false" ht="12.8" hidden="false" customHeight="false" outlineLevel="0" collapsed="false">
      <c r="A12" s="0" t="n">
        <v>44</v>
      </c>
      <c r="B12" s="0" t="n">
        <v>117.73161</v>
      </c>
      <c r="C12" s="0" t="s">
        <v>20</v>
      </c>
      <c r="D12" s="3" t="n">
        <v>0.5</v>
      </c>
      <c r="E12" s="3" t="n">
        <v>0.1</v>
      </c>
      <c r="F12" s="3" t="n">
        <v>0.385</v>
      </c>
      <c r="G12" s="3" t="n">
        <v>0.15</v>
      </c>
      <c r="H12" s="0" t="s">
        <v>10</v>
      </c>
      <c r="I12" s="0" t="n">
        <v>1.280836</v>
      </c>
      <c r="K12" s="0" t="n">
        <v>330046</v>
      </c>
      <c r="L12" s="0" t="n">
        <v>280036</v>
      </c>
      <c r="M12" s="0" t="n">
        <v>286869</v>
      </c>
      <c r="N12" s="0" t="n">
        <f aca="false">AVERAGE(K12:M12)</f>
        <v>298983.666666667</v>
      </c>
      <c r="O12" s="0" t="n">
        <f aca="false">LOG10(N12)</f>
        <v>5.47564746367463</v>
      </c>
    </row>
    <row r="13" customFormat="false" ht="12.8" hidden="false" customHeight="false" outlineLevel="0" collapsed="false">
      <c r="A13" s="0" t="n">
        <v>45</v>
      </c>
      <c r="B13" s="0" t="n">
        <v>77.45251108</v>
      </c>
      <c r="C13" s="0" t="s">
        <v>21</v>
      </c>
      <c r="D13" s="3" t="n">
        <v>0.5</v>
      </c>
      <c r="E13" s="3" t="n">
        <v>0.1</v>
      </c>
      <c r="F13" s="3" t="n">
        <v>0.385</v>
      </c>
      <c r="G13" s="3" t="n">
        <v>0.15</v>
      </c>
      <c r="H13" s="0" t="s">
        <v>10</v>
      </c>
      <c r="I13" s="0" t="n">
        <v>0.38175</v>
      </c>
      <c r="K13" s="0" t="n">
        <v>68214</v>
      </c>
      <c r="L13" s="0" t="n">
        <v>43880</v>
      </c>
      <c r="M13" s="0" t="n">
        <v>36788</v>
      </c>
      <c r="N13" s="0" t="n">
        <f aca="false">AVERAGE(K13:M13)</f>
        <v>49627.3333333333</v>
      </c>
      <c r="O13" s="0" t="n">
        <f aca="false">LOG10(N13)</f>
        <v>4.69572093951864</v>
      </c>
    </row>
    <row r="14" customFormat="false" ht="12.8" hidden="false" customHeight="false" outlineLevel="0" collapsed="false">
      <c r="A14" s="0" t="n">
        <v>46</v>
      </c>
      <c r="B14" s="0" t="n">
        <v>42.71925775</v>
      </c>
      <c r="C14" s="0" t="s">
        <v>22</v>
      </c>
      <c r="D14" s="3" t="n">
        <v>0.5</v>
      </c>
      <c r="E14" s="3" t="n">
        <v>0.1</v>
      </c>
      <c r="F14" s="3" t="n">
        <v>0.385</v>
      </c>
      <c r="G14" s="3" t="n">
        <v>0.15</v>
      </c>
      <c r="H14" s="0" t="s">
        <v>10</v>
      </c>
      <c r="I14" s="0" t="n">
        <v>-0.68897</v>
      </c>
      <c r="K14" s="0" t="n">
        <v>5699</v>
      </c>
      <c r="L14" s="0" t="n">
        <v>5612</v>
      </c>
      <c r="M14" s="0" t="n">
        <v>6229</v>
      </c>
      <c r="N14" s="0" t="n">
        <f aca="false">AVERAGE(K14:M14)</f>
        <v>5846.66666666667</v>
      </c>
      <c r="O14" s="0" t="n">
        <f aca="false">LOG10(N14)</f>
        <v>3.76690833431036</v>
      </c>
    </row>
    <row r="15" customFormat="false" ht="12.8" hidden="false" customHeight="false" outlineLevel="0" collapsed="false">
      <c r="A15" s="0" t="n">
        <v>47</v>
      </c>
      <c r="B15" s="0" t="n">
        <v>75.12158419</v>
      </c>
      <c r="C15" s="0" t="s">
        <v>23</v>
      </c>
      <c r="D15" s="3" t="n">
        <v>0.5</v>
      </c>
      <c r="E15" s="3" t="n">
        <v>0.1</v>
      </c>
      <c r="F15" s="3" t="n">
        <v>0.385</v>
      </c>
      <c r="G15" s="3" t="n">
        <v>0.15</v>
      </c>
      <c r="H15" s="0" t="s">
        <v>10</v>
      </c>
      <c r="I15" s="0" t="n">
        <v>1.023126</v>
      </c>
      <c r="K15" s="0" t="n">
        <v>181800</v>
      </c>
      <c r="L15" s="0" t="n">
        <v>196162</v>
      </c>
      <c r="M15" s="0" t="n">
        <v>158099</v>
      </c>
      <c r="N15" s="0" t="n">
        <f aca="false">AVERAGE(K15:M15)</f>
        <v>178687</v>
      </c>
      <c r="O15" s="0" t="n">
        <f aca="false">LOG10(N15)</f>
        <v>5.25209295746572</v>
      </c>
    </row>
    <row r="16" customFormat="false" ht="12.8" hidden="false" customHeight="false" outlineLevel="0" collapsed="false">
      <c r="A16" s="0" t="n">
        <v>48</v>
      </c>
      <c r="B16" s="0" t="n">
        <v>96.81508493</v>
      </c>
      <c r="C16" s="0" t="s">
        <v>24</v>
      </c>
      <c r="D16" s="3" t="n">
        <v>0.5</v>
      </c>
      <c r="E16" s="3" t="n">
        <v>0.1</v>
      </c>
      <c r="F16" s="3" t="n">
        <v>0.385</v>
      </c>
      <c r="G16" s="3" t="n">
        <v>0.15</v>
      </c>
      <c r="H16" s="0" t="s">
        <v>10</v>
      </c>
      <c r="I16" s="0" t="n">
        <v>-1.635912</v>
      </c>
      <c r="K16" s="0" t="n">
        <v>1031</v>
      </c>
      <c r="L16" s="0" t="n">
        <v>818</v>
      </c>
      <c r="M16" s="0" t="n">
        <v>797</v>
      </c>
      <c r="N16" s="0" t="n">
        <f aca="false">AVERAGE(K16:M16)</f>
        <v>882</v>
      </c>
      <c r="O16" s="0" t="n">
        <f aca="false">LOG10(N16)</f>
        <v>2.94546858513182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2025-10-22T14:20:03Z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