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<sst xmlns="http://schemas.openxmlformats.org/spreadsheetml/2006/main" count="55" uniqueCount="41">
  <si>
    <t xml:space="preserve">Carrier</t>
  </si>
  <si>
    <t xml:space="preserve">KD1</t>
  </si>
  <si>
    <t xml:space="preserve">KD2</t>
  </si>
  <si>
    <t xml:space="preserve">KD3</t>
  </si>
  <si>
    <t xml:space="preserve">Kdmean</t>
  </si>
  <si>
    <t xml:space="preserve">TARGET</t>
  </si>
  <si>
    <t xml:space="preserve">SMILES</t>
  </si>
  <si>
    <t xml:space="preserve">Cationic_Lipid_to_mRNA_weight_ratio</t>
  </si>
  <si>
    <t xml:space="preserve">Cationic_Lipid_Mol_Ratio</t>
  </si>
  <si>
    <t xml:space="preserve">Phospholipid_Mol_Ratio</t>
  </si>
  <si>
    <t xml:space="preserve">Cholesterol_Mol_Ratio</t>
  </si>
  <si>
    <t xml:space="preserve">PEG_Lipid_Mol_Ratio</t>
  </si>
  <si>
    <t xml:space="preserve">task_id</t>
  </si>
  <si>
    <t xml:space="preserve">L-6</t>
  </si>
  <si>
    <t xml:space="preserve">O=C(OCCCCCCCC/C=C\C/C=C\CCCCC)CCN(CCC(OCCCCCCCC/C=C\C/C=C\CCCCC)=O)CCCN(C)CCCN(CCC(OCCCCCCCC/C=C\C/C=C\CCCCC)=O)CCC(OCCCCCCCC/C=C\C/C=C\CCCCC)=O</t>
  </si>
  <si>
    <t xml:space="preserve">Inference</t>
  </si>
  <si>
    <t xml:space="preserve">L-7</t>
  </si>
  <si>
    <t xml:space="preserve">O=C(OCCCCCCCC/C=C\CCCCCCCC)CCN(CCC(OCCCCCCCC/C=C\CCCCCCCC)=O)CCCN(C)CCCN(CCC(OCCCCCCCC/C=C\CCCCCCCC)=O)CCC(OCCCCCCCC/C=C\CCCCCCCC)=O</t>
  </si>
  <si>
    <t xml:space="preserve">L-11</t>
  </si>
  <si>
    <t xml:space="preserve">O=C(CCN(CCC(OCCCCCCCC/C=C\CCCCCCCC)=O)CCCN(CCC(OCCCCCCCC/C=C\CCCCCCCC)=O)CCCN(C)C)OCCCCCCCC/C=C\CCCCCCCC</t>
  </si>
  <si>
    <t xml:space="preserve">L-13</t>
  </si>
  <si>
    <t xml:space="preserve">CN(CCCN(CCC(OCCCCCCCCCCCC)=O)CCCN(CCC(OCCCCCCCCCCCC)=O)CCC(OCCCCCCCCCCCC)=O)C</t>
  </si>
  <si>
    <t xml:space="preserve">L-15</t>
  </si>
  <si>
    <t xml:space="preserve">O=C(CCN(CCC(OCCCCCCCCCCCC)=O)CCCN(C)CCCN(CCC(OCCCCCCCCCCCC)=O)CCC(OCCCCCCCCCCCC)=O)OCCCCCCCCCCCC</t>
  </si>
  <si>
    <t xml:space="preserve">L-18</t>
  </si>
  <si>
    <t xml:space="preserve">CN(C)CCN(CCC(OCCCCCCCCCCCC)=O)CCC(OCCCCCCCCCCCC)=O</t>
  </si>
  <si>
    <t xml:space="preserve">L-21</t>
  </si>
  <si>
    <t xml:space="preserve">CN(CCN(CCC(OCCCCCCCC/C=C\C/C=C\CCCCC)=O)CCC(OCCCCCCCC/C=C\C/C=C\CCCCC)=O)C</t>
  </si>
  <si>
    <t xml:space="preserve">L-34</t>
  </si>
  <si>
    <t xml:space="preserve">O=C(OCC#CC1=CC=CC=C1)CCN(CCC(OCC#CC2=CC=CC=C2)=O)CCCN(C)CCCN(CCC(OCC#CC3=CC=CC=C3)=O)CCC(OCC#CC4=CC=CC=C4)=O</t>
  </si>
  <si>
    <t xml:space="preserve">L-40</t>
  </si>
  <si>
    <t xml:space="preserve">CN(C)CCCN(CCC(OCC#CC1=CC=CC=C1)=O)CCCN(CCC(OCC#CC2=CC=CC=C2)=O)CCC(OCC#CC3=CC=CC=C3)=O</t>
  </si>
  <si>
    <t xml:space="preserve">L-44</t>
  </si>
  <si>
    <t xml:space="preserve">CCCCC/C=C\C/C=C\CCCCCCCCOC(CCN(CCC(OCCCCCCCC/C=C\C/C=C\CCCCC)=O)CCCN(CCCCN(CCC(OCCCCCCCC/C=C\C/C=C\CCCCC)=O)CCCN(CCC(OCCCCCCCC/C=C\C/C=C\CCCCC)=O)CCC(OCCCCCCCC/C=C\C/C=C\CCCCC)=O)CCC(OCCCCCCCC/C=C\C/C=C\CCCCC)=O)=O</t>
  </si>
  <si>
    <t xml:space="preserve">L-45</t>
  </si>
  <si>
    <t xml:space="preserve">O=C(OCCCCCCCC/C=C\C/C=C\CCCCC)CCN(CCCCCCN(CCC(OCCCCCCCC/C=C\C/C=C\CCCCC)=O)CCC(OCCCCCCCC/C=C\C/C=C\CCCCC)=O)CCC(OCCCCCCCC/C=C\C/C=C\CCCCC)=O</t>
  </si>
  <si>
    <t xml:space="preserve">L-47</t>
  </si>
  <si>
    <t xml:space="preserve">O=C(OCCCCCCCC/C=C\C/C=C\CCCCC)CCN(CCC(OCCCCCCCC/C=C\C/C=C\CCCCC)=O)CCCN(CCC(OCCCCCCCC/C=C\C/C=C\CCCCC)=O)CCC(OCCCCCCCC/C=C\C/C=C\CCCCC)=O</t>
  </si>
  <si>
    <t xml:space="preserve">CN(CCCN(CCC(OCCCCCCCC/C=C\C/C=C\CCCCC)=O)CCCN(CCC(OCCCCCCCC/C=C\C/C=C\CCCCC)=O)CCC(OCCCCCCCC/C=C\C/C=C\CCCCC)=O)C</t>
  </si>
  <si>
    <t xml:space="preserve">CCCCC/C=C\C/C=C\CCCCCCCCOC(CCN(CCN1CCOCC1)CCC(OCCCCCCCC/C=C\C/C=C\CCCCC)=O)=O</t>
  </si>
  <si>
    <t xml:space="preserve">O=C(OCCCCCCCC/C=C\C/C=C\CCCCC)CCN(CCCCN(CCC(OCCCCCCCC/C=C\C/C=C\CCCCC)=O)CCC(OCCCCCCCC/C=C\C/C=C\CCCCC)=O)CCCN(CCC(OCCCCCCCC/C=C\C/C=C\CCCCC)=O)CCC(OCCCCCCCC/C=C\C/C=C\CCCCC)=O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</si>
</sst>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1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F2" activeCellId="0" sqref="F2:F16"/>
    </sheetView>
  </sheetViews>
  <sheetFormatPr defaultColWidth="8.52734375" defaultRowHeight="15" zeroHeight="false" outlineLevelRow="0" outlineLevelCol="0"/>
  <cols>
    <col collapsed="false" customWidth="true" hidden="false" outlineLevel="0" max="7" min="7" style="0" width="207.41"/>
    <col collapsed="false" customWidth="true" hidden="false" outlineLevel="0" max="8" min="8" style="0" width="33.25"/>
  </cols>
  <sheetData>
    <row r="1" customFormat="false" ht="60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0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0" t="s">
        <v>12</v>
      </c>
    </row>
    <row r="2" customFormat="false" ht="16.4" hidden="false" customHeight="false" outlineLevel="0" collapsed="false">
      <c r="A2" s="0" t="s">
        <v>13</v>
      </c>
      <c r="B2" s="0" t="n">
        <v>97.045796795482</v>
      </c>
      <c r="C2" s="0" t="n">
        <v>95.9020342798077</v>
      </c>
      <c r="D2" s="0" t="n">
        <v>93.6457865041518</v>
      </c>
      <c r="E2" s="0" t="n">
        <v>95.5312058598138</v>
      </c>
      <c r="F2" s="2" t="n">
        <v>1.068844</v>
      </c>
      <c r="G2" s="0" t="s">
        <v>14</v>
      </c>
      <c r="H2" s="0" t="n">
        <v>16.6224122831535</v>
      </c>
      <c r="I2" s="0" t="n">
        <v>0.5</v>
      </c>
      <c r="J2" s="0" t="n">
        <v>0.1</v>
      </c>
      <c r="K2" s="0" t="n">
        <v>0.385</v>
      </c>
      <c r="L2" s="0" t="n">
        <v>0.15</v>
      </c>
      <c r="M2" s="0" t="s">
        <v>15</v>
      </c>
    </row>
    <row r="3" customFormat="false" ht="16.4" hidden="false" customHeight="false" outlineLevel="0" collapsed="false">
      <c r="A3" s="0" t="s">
        <v>16</v>
      </c>
      <c r="B3" s="0" t="n">
        <v>19.4578942379251</v>
      </c>
      <c r="C3" s="0" t="n">
        <v>25.2761627899162</v>
      </c>
      <c r="D3" s="0" t="n">
        <v>3.59793289439789</v>
      </c>
      <c r="E3" s="0" t="n">
        <v>16.1106633074131</v>
      </c>
      <c r="F3" s="2" t="n">
        <v>-0.802556</v>
      </c>
      <c r="G3" s="0" t="s">
        <v>17</v>
      </c>
      <c r="H3" s="0" t="n">
        <v>16.716278159763</v>
      </c>
      <c r="I3" s="0" t="n">
        <v>0.5</v>
      </c>
      <c r="J3" s="0" t="n">
        <v>0.1</v>
      </c>
      <c r="K3" s="0" t="n">
        <v>0.385</v>
      </c>
      <c r="L3" s="0" t="n">
        <v>0.15</v>
      </c>
      <c r="M3" s="0" t="s">
        <v>15</v>
      </c>
    </row>
    <row r="4" customFormat="false" ht="16.4" hidden="false" customHeight="false" outlineLevel="0" collapsed="false">
      <c r="A4" s="0" t="s">
        <v>18</v>
      </c>
      <c r="B4" s="0" t="n">
        <v>82.5452642433434</v>
      </c>
      <c r="C4" s="0" t="n">
        <v>67.7083492959176</v>
      </c>
      <c r="D4" s="0" t="n">
        <v>59.5982273318264</v>
      </c>
      <c r="E4" s="0" t="n">
        <v>69.9506136236958</v>
      </c>
      <c r="F4" s="2" t="n">
        <v>0.273185</v>
      </c>
      <c r="G4" s="0" t="s">
        <v>19</v>
      </c>
      <c r="H4" s="0" t="n">
        <v>13.1235209719194</v>
      </c>
      <c r="I4" s="0" t="n">
        <v>0.5</v>
      </c>
      <c r="J4" s="0" t="n">
        <v>0.1</v>
      </c>
      <c r="K4" s="0" t="n">
        <v>0.385</v>
      </c>
      <c r="L4" s="0" t="n">
        <v>0.15</v>
      </c>
      <c r="M4" s="0" t="s">
        <v>15</v>
      </c>
    </row>
    <row r="5" customFormat="false" ht="16.4" hidden="false" customHeight="false" outlineLevel="0" collapsed="false">
      <c r="A5" s="0" t="s">
        <v>20</v>
      </c>
      <c r="B5" s="0" t="n">
        <v>75.506671916643</v>
      </c>
      <c r="C5" s="0" t="n">
        <v>94.1025193918179</v>
      </c>
      <c r="D5" s="0" t="n">
        <v>85.4207769481087</v>
      </c>
      <c r="E5" s="0" t="n">
        <v>85.0099894188566</v>
      </c>
      <c r="F5" s="2" t="n">
        <v>0.686015</v>
      </c>
      <c r="G5" s="0" t="s">
        <v>21</v>
      </c>
      <c r="H5" s="0" t="n">
        <v>10.2535077421879</v>
      </c>
      <c r="I5" s="0" t="n">
        <v>0.5</v>
      </c>
      <c r="J5" s="0" t="n">
        <v>0.1</v>
      </c>
      <c r="K5" s="0" t="n">
        <v>0.385</v>
      </c>
      <c r="L5" s="0" t="n">
        <v>0.15</v>
      </c>
      <c r="M5" s="0" t="s">
        <v>15</v>
      </c>
    </row>
    <row r="6" customFormat="false" ht="16.4" hidden="false" customHeight="false" outlineLevel="0" collapsed="false">
      <c r="A6" s="0" t="s">
        <v>22</v>
      </c>
      <c r="B6" s="0" t="n">
        <v>95.3166597654534</v>
      </c>
      <c r="C6" s="0" t="n">
        <v>95.7689083431233</v>
      </c>
      <c r="D6" s="0" t="n">
        <v>93.5508094636577</v>
      </c>
      <c r="E6" s="0" t="n">
        <v>94.8787925240781</v>
      </c>
      <c r="F6" s="2" t="n">
        <v>0.987078</v>
      </c>
      <c r="G6" s="0" t="s">
        <v>23</v>
      </c>
      <c r="H6" s="0" t="n">
        <v>12.8896714927236</v>
      </c>
      <c r="I6" s="0" t="n">
        <v>0.5</v>
      </c>
      <c r="J6" s="0" t="n">
        <v>0.1</v>
      </c>
      <c r="K6" s="0" t="n">
        <v>0.385</v>
      </c>
      <c r="L6" s="0" t="n">
        <v>0.15</v>
      </c>
      <c r="M6" s="0" t="s">
        <v>15</v>
      </c>
    </row>
    <row r="7" customFormat="false" ht="16.4" hidden="false" customHeight="false" outlineLevel="0" collapsed="false">
      <c r="A7" s="0" t="s">
        <v>24</v>
      </c>
      <c r="B7" s="0" t="n">
        <v>-4.93887600501104</v>
      </c>
      <c r="C7" s="0" t="n">
        <v>-36.9648609146089</v>
      </c>
      <c r="D7" s="0" t="n">
        <v>-15.8976962206891</v>
      </c>
      <c r="E7" s="0" t="n">
        <v>0</v>
      </c>
      <c r="F7" s="2" t="n">
        <v>-0.909447</v>
      </c>
      <c r="G7" s="0" t="s">
        <v>25</v>
      </c>
      <c r="H7" s="0" t="n">
        <v>6.62569642424581</v>
      </c>
      <c r="I7" s="0" t="n">
        <v>0.5</v>
      </c>
      <c r="J7" s="0" t="n">
        <v>0.1</v>
      </c>
      <c r="K7" s="0" t="n">
        <v>0.385</v>
      </c>
      <c r="L7" s="0" t="n">
        <v>0.15</v>
      </c>
      <c r="M7" s="0" t="s">
        <v>15</v>
      </c>
    </row>
    <row r="8" customFormat="false" ht="16.4" hidden="false" customHeight="false" outlineLevel="0" collapsed="false">
      <c r="A8" s="0" t="s">
        <v>26</v>
      </c>
      <c r="B8" s="0" t="n">
        <v>30.8007896902164</v>
      </c>
      <c r="C8" s="0" t="n">
        <v>26.8060114917702</v>
      </c>
      <c r="D8" s="0" t="n">
        <v>33.5968322490068</v>
      </c>
      <c r="E8" s="0" t="n">
        <v>30.4012111436645</v>
      </c>
      <c r="F8" s="2" t="n">
        <v>-0.524448</v>
      </c>
      <c r="G8" s="0" t="s">
        <v>27</v>
      </c>
      <c r="H8" s="0" t="n">
        <v>8.49206681946075</v>
      </c>
      <c r="I8" s="0" t="n">
        <v>0.5</v>
      </c>
      <c r="J8" s="0" t="n">
        <v>0.1</v>
      </c>
      <c r="K8" s="0" t="n">
        <v>0.385</v>
      </c>
      <c r="L8" s="0" t="n">
        <v>0.15</v>
      </c>
      <c r="M8" s="0" t="s">
        <v>15</v>
      </c>
    </row>
    <row r="9" customFormat="false" ht="16.4" hidden="false" customHeight="false" outlineLevel="0" collapsed="false">
      <c r="A9" s="0" t="s">
        <v>28</v>
      </c>
      <c r="B9" s="0" t="n">
        <v>4.05854250569371</v>
      </c>
      <c r="C9" s="0" t="n">
        <v>-19.9122451719601</v>
      </c>
      <c r="D9" s="0" t="n">
        <v>-5.90793862130266</v>
      </c>
      <c r="E9" s="0" t="n">
        <v>0</v>
      </c>
      <c r="F9" s="2" t="n">
        <v>-0.909447</v>
      </c>
      <c r="G9" s="0" t="s">
        <v>29</v>
      </c>
      <c r="H9" s="0" t="n">
        <v>10.3658905845305</v>
      </c>
      <c r="I9" s="0" t="n">
        <v>0.5</v>
      </c>
      <c r="J9" s="0" t="n">
        <v>0.1</v>
      </c>
      <c r="K9" s="0" t="n">
        <v>0.385</v>
      </c>
      <c r="L9" s="0" t="n">
        <v>0.15</v>
      </c>
      <c r="M9" s="0" t="s">
        <v>15</v>
      </c>
    </row>
    <row r="10" customFormat="false" ht="16.4" hidden="false" customHeight="false" outlineLevel="0" collapsed="false">
      <c r="A10" s="0" t="s">
        <v>30</v>
      </c>
      <c r="B10" s="0" t="n">
        <v>-5.66158116878002</v>
      </c>
      <c r="C10" s="0" t="n">
        <v>20.2941051379278</v>
      </c>
      <c r="D10" s="0" t="n">
        <v>-23.9028885569926</v>
      </c>
      <c r="E10" s="0" t="n">
        <v>0</v>
      </c>
      <c r="F10" s="2" t="n">
        <v>-0.909447</v>
      </c>
      <c r="G10" s="0" t="s">
        <v>31</v>
      </c>
      <c r="H10" s="0" t="n">
        <v>8.36070117576909</v>
      </c>
      <c r="I10" s="0" t="n">
        <v>0.5</v>
      </c>
      <c r="J10" s="0" t="n">
        <v>0.1</v>
      </c>
      <c r="K10" s="0" t="n">
        <v>0.385</v>
      </c>
      <c r="L10" s="0" t="n">
        <v>0.15</v>
      </c>
      <c r="M10" s="0" t="s">
        <v>15</v>
      </c>
    </row>
    <row r="11" customFormat="false" ht="16.4" hidden="false" customHeight="false" outlineLevel="0" collapsed="false">
      <c r="A11" s="0" t="s">
        <v>32</v>
      </c>
      <c r="B11" s="0" t="n">
        <v>95.8350653577428</v>
      </c>
      <c r="C11" s="0" t="n">
        <v>95.2970073037796</v>
      </c>
      <c r="D11" s="0" t="n">
        <v>94.614499623861</v>
      </c>
      <c r="E11" s="0" t="n">
        <v>95.2488574284611</v>
      </c>
      <c r="F11" s="2" t="n">
        <v>1.031776</v>
      </c>
      <c r="G11" s="0" t="s">
        <v>33</v>
      </c>
      <c r="H11" s="0" t="n">
        <v>24.7527577468463</v>
      </c>
      <c r="I11" s="0" t="n">
        <v>0.5</v>
      </c>
      <c r="J11" s="0" t="n">
        <v>0.1</v>
      </c>
      <c r="K11" s="0" t="n">
        <v>0.385</v>
      </c>
      <c r="L11" s="0" t="n">
        <v>0.15</v>
      </c>
      <c r="M11" s="0" t="s">
        <v>15</v>
      </c>
    </row>
    <row r="12" customFormat="false" ht="16.4" hidden="false" customHeight="false" outlineLevel="0" collapsed="false">
      <c r="A12" s="0" t="s">
        <v>34</v>
      </c>
      <c r="B12" s="0" t="n">
        <v>94.1665794269428</v>
      </c>
      <c r="C12" s="0" t="n">
        <v>95.0092210640623</v>
      </c>
      <c r="D12" s="0" t="n">
        <v>92.8147911685332</v>
      </c>
      <c r="E12" s="0" t="n">
        <v>93.9968638865128</v>
      </c>
      <c r="F12" s="2" t="n">
        <v>0.993451</v>
      </c>
      <c r="G12" s="0" t="s">
        <v>35</v>
      </c>
      <c r="H12" s="0" t="n">
        <v>16.2842156259899</v>
      </c>
      <c r="I12" s="0" t="n">
        <v>0.5</v>
      </c>
      <c r="J12" s="0" t="n">
        <v>0.1</v>
      </c>
      <c r="K12" s="0" t="n">
        <v>0.385</v>
      </c>
      <c r="L12" s="0" t="n">
        <v>0.15</v>
      </c>
      <c r="M12" s="0" t="s">
        <v>15</v>
      </c>
    </row>
    <row r="13" customFormat="false" ht="16.4" hidden="false" customHeight="false" outlineLevel="0" collapsed="false">
      <c r="A13" s="0" t="s">
        <v>36</v>
      </c>
      <c r="B13" s="0" t="n">
        <v>96.1813250641367</v>
      </c>
      <c r="C13" s="0" t="n">
        <v>95.5157867875129</v>
      </c>
      <c r="D13" s="0" t="n">
        <v>100</v>
      </c>
      <c r="E13" s="0" t="n">
        <v>97.2323706172165</v>
      </c>
      <c r="F13" s="2" t="n">
        <v>1.092955</v>
      </c>
      <c r="G13" s="0" t="s">
        <v>37</v>
      </c>
      <c r="H13" s="0" t="n">
        <v>15.7940400991298</v>
      </c>
      <c r="I13" s="0" t="n">
        <v>0.5</v>
      </c>
      <c r="J13" s="0" t="n">
        <v>0.1</v>
      </c>
      <c r="K13" s="0" t="n">
        <v>0.385</v>
      </c>
      <c r="L13" s="0" t="n">
        <v>0.15</v>
      </c>
      <c r="M13" s="0" t="s">
        <v>15</v>
      </c>
    </row>
    <row r="14" customFormat="false" ht="13.8" hidden="false" customHeight="false" outlineLevel="0" collapsed="false">
      <c r="A14" s="0" t="n">
        <v>10</v>
      </c>
      <c r="B14" s="0" t="n">
        <f aca="false">100-5.036999</f>
        <v>94.963001</v>
      </c>
      <c r="C14" s="0" t="n">
        <f aca="false">100-5.433</f>
        <v>94.567</v>
      </c>
      <c r="D14" s="0" t="n">
        <f aca="false">100-4.756955</f>
        <v>95.243045</v>
      </c>
      <c r="E14" s="0" t="n">
        <f aca="false">AVERAGE(B14:D14)</f>
        <v>94.9243486666667</v>
      </c>
      <c r="F14" s="2" t="n">
        <v>1.000728</v>
      </c>
      <c r="G14" s="0" t="s">
        <v>38</v>
      </c>
      <c r="H14" s="0" t="n">
        <v>13.05304004</v>
      </c>
      <c r="I14" s="0" t="n">
        <v>0.5</v>
      </c>
      <c r="J14" s="0" t="n">
        <v>0.1</v>
      </c>
      <c r="K14" s="0" t="n">
        <v>0.385</v>
      </c>
      <c r="L14" s="0" t="n">
        <v>0.15</v>
      </c>
      <c r="M14" s="0" t="s">
        <v>15</v>
      </c>
    </row>
    <row r="15" customFormat="false" ht="13.8" hidden="false" customHeight="false" outlineLevel="0" collapsed="false">
      <c r="A15" s="0" t="n">
        <v>46</v>
      </c>
      <c r="B15" s="0" t="n">
        <f aca="false">100-104.044</f>
        <v>-4.044</v>
      </c>
      <c r="C15" s="0" t="n">
        <f aca="false">100-102.83</f>
        <v>-2.83</v>
      </c>
      <c r="D15" s="0" t="n">
        <f aca="false">100-96.32</f>
        <v>3.68000000000001</v>
      </c>
      <c r="E15" s="0" t="n">
        <v>0</v>
      </c>
      <c r="F15" s="2" t="n">
        <v>-0.909447</v>
      </c>
      <c r="G15" s="0" t="s">
        <v>39</v>
      </c>
      <c r="H15" s="0" t="n">
        <v>8.981601822</v>
      </c>
      <c r="I15" s="0" t="n">
        <v>0.5</v>
      </c>
      <c r="J15" s="0" t="n">
        <v>0.1</v>
      </c>
      <c r="K15" s="0" t="n">
        <v>0.385</v>
      </c>
      <c r="L15" s="0" t="n">
        <v>0.15</v>
      </c>
      <c r="M15" s="0" t="s">
        <v>15</v>
      </c>
    </row>
    <row r="16" customFormat="false" ht="13.8" hidden="false" customHeight="false" outlineLevel="0" collapsed="false">
      <c r="A16" s="0" t="n">
        <v>48</v>
      </c>
      <c r="B16" s="0" t="n">
        <f aca="false">100-4.41</f>
        <v>95.59</v>
      </c>
      <c r="C16" s="0" t="n">
        <f aca="false">100-3.33</f>
        <v>96.67</v>
      </c>
      <c r="D16" s="0" t="n">
        <f aca="false">100-4.06</f>
        <v>95.94</v>
      </c>
      <c r="E16" s="0" t="n">
        <f aca="false">AVERAGE(B16:D16)</f>
        <v>96.0666666666667</v>
      </c>
      <c r="F16" s="0" t="n">
        <v>1.017212</v>
      </c>
      <c r="G16" s="0" t="s">
        <v>40</v>
      </c>
      <c r="H16" s="0" t="n">
        <v>20.35509484</v>
      </c>
      <c r="I16" s="0" t="n">
        <v>0.5</v>
      </c>
      <c r="J16" s="0" t="n">
        <v>0.1</v>
      </c>
      <c r="K16" s="0" t="n">
        <v>0.385</v>
      </c>
      <c r="L16" s="0" t="n">
        <v>0.15</v>
      </c>
      <c r="M16" s="0" t="s">
        <v>15</v>
      </c>
    </row>
    <row r="22" customFormat="false" ht="13.8" hidden="false" customHeight="false" outlineLevel="0" collapsed="false">
      <c r="B22" s="3"/>
      <c r="C22" s="3"/>
      <c r="D22" s="3"/>
    </row>
    <row r="23" customFormat="false" ht="13.8" hidden="false" customHeight="false" outlineLevel="0" collapsed="false">
      <c r="B23" s="2"/>
      <c r="C23" s="2"/>
    </row>
    <row r="24" customFormat="false" ht="13.8" hidden="false" customHeight="false" outlineLevel="0" collapsed="false">
      <c r="B24" s="2"/>
      <c r="C24" s="2"/>
    </row>
    <row r="25" customFormat="false" ht="13.8" hidden="false" customHeight="false" outlineLevel="0" collapsed="false">
      <c r="B25" s="2"/>
      <c r="C25" s="2"/>
    </row>
    <row r="26" customFormat="false" ht="13.8" hidden="false" customHeight="false" outlineLevel="0" collapsed="false">
      <c r="B26" s="2"/>
      <c r="C26" s="2"/>
    </row>
    <row r="27" customFormat="false" ht="13.8" hidden="false" customHeight="false" outlineLevel="0" collapsed="false">
      <c r="B27" s="2"/>
      <c r="C27" s="2"/>
    </row>
    <row r="28" customFormat="false" ht="13.8" hidden="false" customHeight="false" outlineLevel="0" collapsed="false">
      <c r="B28" s="2"/>
      <c r="C28" s="2"/>
    </row>
    <row r="29" customFormat="false" ht="13.8" hidden="false" customHeight="false" outlineLevel="0" collapsed="false">
      <c r="B29" s="2"/>
      <c r="C29" s="2"/>
    </row>
    <row r="30" customFormat="false" ht="13.8" hidden="false" customHeight="false" outlineLevel="0" collapsed="false">
      <c r="B30" s="2"/>
      <c r="C30" s="2"/>
    </row>
    <row r="31" customFormat="false" ht="13.8" hidden="false" customHeight="false" outlineLevel="0" collapsed="false">
      <c r="B31" s="2"/>
      <c r="C31" s="2"/>
    </row>
    <row r="32" customFormat="false" ht="13.8" hidden="false" customHeight="false" outlineLevel="0" collapsed="false">
      <c r="B32" s="2"/>
      <c r="C32" s="2"/>
    </row>
    <row r="33" customFormat="false" ht="13.8" hidden="false" customHeight="false" outlineLevel="0" collapsed="false">
      <c r="B33" s="2"/>
      <c r="C33" s="2"/>
    </row>
    <row r="34" customFormat="false" ht="13.8" hidden="false" customHeight="false" outlineLevel="0" collapsed="false">
      <c r="B34" s="2"/>
      <c r="C34" s="2"/>
    </row>
    <row r="35" customFormat="false" ht="13.8" hidden="false" customHeight="false" outlineLevel="0" collapsed="false">
      <c r="B35" s="2"/>
      <c r="C35" s="2"/>
    </row>
    <row r="36" customFormat="false" ht="13.8" hidden="false" customHeight="false" outlineLevel="0" collapsed="false">
      <c r="B36" s="2"/>
      <c r="C36" s="2"/>
    </row>
    <row r="37" customFormat="false" ht="13.8" hidden="false" customHeight="false" outlineLevel="0" collapsed="false">
      <c r="B37" s="2"/>
      <c r="C3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7332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2025-06-27T07:55:53Z</dcterms:created>
  <dc:creator>openpyxl</dc:creator>
  <dc:description/>
  <dc:language>en-US</dc:language>
  <cp:lastModifiedBy/>
  <dcterms:modified xsi:type="dcterms:W3CDTF">2025-10-22T17:59:48Z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