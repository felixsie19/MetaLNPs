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<sst xmlns="http://schemas.openxmlformats.org/spreadsheetml/2006/main" count="39" uniqueCount="25">
  <si>
    <t xml:space="preserve">Lipid No.</t>
  </si>
  <si>
    <t xml:space="preserve">Cationic_Lipid_to_mRNA_weight_ratio</t>
  </si>
  <si>
    <t xml:space="preserve">SMILES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</si>
  <si>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</si>
  <si>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</si>
  <si>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</si>
  <si>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</si>
  <si>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</si>
  <si>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</si>
  <si>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</si>
  <si>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</si>
  <si>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</si>
  <si>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CN(CCCN(CCC(OCCCCCCCC/C=C\C/C=C\CCCCC)=O)CCCN(CCC(OCCCCCCCC/C=C\C/C=C\CCCCC)=O)CCC(OCCCCCCCC/C=C\C/C=C\CCCCC)=O)C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</si>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</sst>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0.3"/>
    <col collapsed="false" customWidth="true" hidden="false" outlineLevel="0" max="3" min="3" style="0" width="9.7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0" t="n">
        <v>6</v>
      </c>
      <c r="B2" s="0" t="n">
        <v>79.06118907</v>
      </c>
      <c r="C2" s="0" t="s">
        <v>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I2" s="0" t="n">
        <v>0.223243</v>
      </c>
      <c r="K2" s="0" t="n">
        <v>80640</v>
      </c>
      <c r="L2" s="0" t="n">
        <v>275959</v>
      </c>
      <c r="M2" s="0" t="n">
        <v>332932</v>
      </c>
      <c r="N2" s="0" t="n">
        <f aca="false">AVERAGE(K2:M2)</f>
        <v>229843.666666667</v>
      </c>
      <c r="O2" s="0" t="n">
        <f aca="false">LOG10(N2)</f>
        <v>5.36143254128357</v>
      </c>
    </row>
    <row r="3" customFormat="false" ht="12.8" hidden="false" customHeight="false" outlineLevel="0" collapsed="false">
      <c r="A3" s="0" t="n">
        <v>7</v>
      </c>
      <c r="B3" s="0" t="n">
        <v>79.50786558</v>
      </c>
      <c r="C3" s="0" t="s">
        <v>11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I3" s="0" t="n">
        <v>0.348448</v>
      </c>
      <c r="K3" s="0" t="n">
        <v>440485</v>
      </c>
      <c r="L3" s="0" t="n">
        <v>465148</v>
      </c>
      <c r="M3" s="0" t="n">
        <v>129272</v>
      </c>
      <c r="N3" s="0" t="n">
        <f aca="false">AVERAGE(K3:M3)</f>
        <v>344968.333333333</v>
      </c>
      <c r="O3" s="0" t="n">
        <f aca="false">LOG10(N3)</f>
        <v>5.53777923046518</v>
      </c>
    </row>
    <row r="4" customFormat="false" ht="12.8" hidden="false" customHeight="false" outlineLevel="0" collapsed="false">
      <c r="A4" s="0" t="n">
        <v>10</v>
      </c>
      <c r="B4" s="0" t="n">
        <v>62.08426883</v>
      </c>
      <c r="C4" s="0" t="s">
        <v>12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I4" s="0" t="n">
        <v>0.056778</v>
      </c>
      <c r="K4" s="0" t="n">
        <v>93504</v>
      </c>
      <c r="L4" s="0" t="n">
        <v>118294</v>
      </c>
      <c r="M4" s="0" t="n">
        <v>183353</v>
      </c>
      <c r="N4" s="0" t="n">
        <f aca="false">AVERAGE(K4:M4)</f>
        <v>131717</v>
      </c>
      <c r="O4" s="0" t="n">
        <f aca="false">LOG10(N4)</f>
        <v>5.11964183061653</v>
      </c>
    </row>
    <row r="5" customFormat="false" ht="12.8" hidden="false" customHeight="false" outlineLevel="0" collapsed="false">
      <c r="A5" s="0" t="n">
        <v>11</v>
      </c>
      <c r="B5" s="0" t="n">
        <v>62.41927622</v>
      </c>
      <c r="C5" s="0" t="s">
        <v>13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I5" s="0" t="n">
        <v>0.412851</v>
      </c>
      <c r="K5" s="0" t="n">
        <v>304961</v>
      </c>
      <c r="L5" s="0" t="n">
        <v>505726</v>
      </c>
      <c r="M5" s="0" t="n">
        <v>473539</v>
      </c>
      <c r="N5" s="0" t="n">
        <f aca="false">AVERAGE(K5:M5)</f>
        <v>428075.333333333</v>
      </c>
      <c r="O5" s="0" t="n">
        <f aca="false">LOG10(N5)</f>
        <v>5.63152020352724</v>
      </c>
    </row>
    <row r="6" customFormat="false" ht="12.8" hidden="false" customHeight="false" outlineLevel="0" collapsed="false">
      <c r="A6" s="0" t="n">
        <v>13</v>
      </c>
      <c r="B6" s="0" t="n">
        <v>48.7687223</v>
      </c>
      <c r="C6" s="0" t="s">
        <v>14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I6" s="0" t="n">
        <v>1.211528</v>
      </c>
      <c r="K6" s="0" t="n">
        <v>6179310</v>
      </c>
      <c r="L6" s="0" t="n">
        <v>5327446</v>
      </c>
      <c r="M6" s="0" t="n">
        <v>3650702</v>
      </c>
      <c r="N6" s="0" t="n">
        <f aca="false">AVERAGE(K6:M6)</f>
        <v>5052486</v>
      </c>
      <c r="O6" s="0" t="n">
        <f aca="false">LOG10(N6)</f>
        <v>6.70350511879671</v>
      </c>
    </row>
    <row r="7" customFormat="false" ht="12.8" hidden="false" customHeight="false" outlineLevel="0" collapsed="false">
      <c r="A7" s="0" t="n">
        <v>15</v>
      </c>
      <c r="B7" s="0" t="n">
        <v>61.30712703</v>
      </c>
      <c r="C7" s="0" t="s">
        <v>15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I7" s="0" t="n">
        <v>0.701519</v>
      </c>
      <c r="K7" s="0" t="n">
        <v>1069089</v>
      </c>
      <c r="L7" s="0" t="n">
        <v>892146</v>
      </c>
      <c r="M7" s="0" t="n">
        <v>1018285</v>
      </c>
      <c r="N7" s="0" t="n">
        <f aca="false">AVERAGE(K7:M7)</f>
        <v>993173.333333333</v>
      </c>
      <c r="O7" s="0" t="n">
        <f aca="false">LOG10(N7)</f>
        <v>5.99702505024856</v>
      </c>
    </row>
    <row r="8" customFormat="false" ht="12.8" hidden="false" customHeight="false" outlineLevel="0" collapsed="false">
      <c r="A8" s="0" t="n">
        <v>18</v>
      </c>
      <c r="B8" s="0" t="n">
        <v>31.51373708</v>
      </c>
      <c r="C8" s="0" t="s">
        <v>16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I8" s="0" t="n">
        <v>-1.132926</v>
      </c>
      <c r="K8" s="0" t="n">
        <v>1751</v>
      </c>
      <c r="L8" s="0" t="n">
        <v>6435</v>
      </c>
      <c r="M8" s="0" t="n">
        <v>1724</v>
      </c>
      <c r="N8" s="0" t="n">
        <f aca="false">AVERAGE(K8:M8)</f>
        <v>3303.33333333333</v>
      </c>
      <c r="O8" s="0" t="n">
        <f aca="false">LOG10(N8)</f>
        <v>3.51895239976561</v>
      </c>
    </row>
    <row r="9" customFormat="false" ht="12.8" hidden="false" customHeight="false" outlineLevel="0" collapsed="false">
      <c r="A9" s="0" t="n">
        <v>21</v>
      </c>
      <c r="B9" s="0" t="n">
        <v>40.39076809</v>
      </c>
      <c r="C9" s="0" t="s">
        <v>17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I9" s="0" t="n">
        <v>0.180104</v>
      </c>
      <c r="K9" s="0" t="n">
        <v>179217</v>
      </c>
      <c r="L9" s="0" t="n">
        <v>280893</v>
      </c>
      <c r="M9" s="0" t="n">
        <v>203159</v>
      </c>
      <c r="N9" s="0" t="n">
        <f aca="false">AVERAGE(K9:M9)</f>
        <v>221089.666666667</v>
      </c>
      <c r="O9" s="0" t="n">
        <f aca="false">LOG10(N9)</f>
        <v>5.34456844491016</v>
      </c>
    </row>
    <row r="10" customFormat="false" ht="12.8" hidden="false" customHeight="false" outlineLevel="0" collapsed="false">
      <c r="A10" s="0" t="n">
        <v>34</v>
      </c>
      <c r="B10" s="0" t="n">
        <v>49.30336041</v>
      </c>
      <c r="C10" s="0" t="s">
        <v>18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I10" s="0" t="n">
        <v>-1.276541</v>
      </c>
      <c r="K10" s="0" t="n">
        <v>921</v>
      </c>
      <c r="L10" s="0" t="n">
        <v>4199</v>
      </c>
      <c r="M10" s="0" t="n">
        <v>918</v>
      </c>
      <c r="N10" s="0" t="n">
        <f aca="false">AVERAGE(K10:M10)</f>
        <v>2012.66666666667</v>
      </c>
      <c r="O10" s="0" t="n">
        <f aca="false">LOG10(N10)</f>
        <v>3.30377185396742</v>
      </c>
    </row>
    <row r="11" customFormat="false" ht="12.8" hidden="false" customHeight="false" outlineLevel="0" collapsed="false">
      <c r="A11" s="0" t="n">
        <v>40</v>
      </c>
      <c r="B11" s="0" t="n">
        <v>39.76589734</v>
      </c>
      <c r="C11" s="0" t="s">
        <v>19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I11" s="0" t="n">
        <v>-1.610326</v>
      </c>
      <c r="K11" s="0" t="n">
        <v>807</v>
      </c>
      <c r="L11" s="0" t="n">
        <v>573</v>
      </c>
      <c r="M11" s="0" t="n">
        <v>645</v>
      </c>
      <c r="N11" s="0" t="n">
        <f aca="false">AVERAGE(K11:M11)</f>
        <v>675</v>
      </c>
      <c r="O11" s="0" t="n">
        <f aca="false">LOG10(N11)</f>
        <v>2.82930377283102</v>
      </c>
    </row>
    <row r="12" customFormat="false" ht="12.8" hidden="false" customHeight="false" outlineLevel="0" collapsed="false">
      <c r="A12" s="0" t="n">
        <v>44</v>
      </c>
      <c r="B12" s="0" t="n">
        <v>117.73161</v>
      </c>
      <c r="C12" s="0" t="s">
        <v>20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I12" s="0" t="n">
        <v>1.008723</v>
      </c>
      <c r="K12" s="0" t="n">
        <v>2211411</v>
      </c>
      <c r="L12" s="0" t="n">
        <v>2989329</v>
      </c>
      <c r="M12" s="0" t="n">
        <v>2437189</v>
      </c>
      <c r="N12" s="0" t="n">
        <f aca="false">AVERAGE(K12:M12)</f>
        <v>2545976.33333333</v>
      </c>
      <c r="O12" s="0" t="n">
        <f aca="false">LOG10(N12)</f>
        <v>6.40585436225931</v>
      </c>
    </row>
    <row r="13" customFormat="false" ht="12.8" hidden="false" customHeight="false" outlineLevel="0" collapsed="false">
      <c r="A13" s="0" t="n">
        <v>45</v>
      </c>
      <c r="B13" s="0" t="n">
        <v>77.45251108</v>
      </c>
      <c r="C13" s="0" t="s">
        <v>21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I13" s="0" t="n">
        <v>-0.568394</v>
      </c>
      <c r="K13" s="0" t="n">
        <v>12590</v>
      </c>
      <c r="L13" s="0" t="n">
        <v>26233</v>
      </c>
      <c r="M13" s="0" t="n">
        <v>12804</v>
      </c>
      <c r="N13" s="0" t="n">
        <f aca="false">AVERAGE(K13:M13)</f>
        <v>17209</v>
      </c>
      <c r="O13" s="0" t="n">
        <f aca="false">LOG10(N13)</f>
        <v>4.23575563458672</v>
      </c>
    </row>
    <row r="14" customFormat="false" ht="12.8" hidden="false" customHeight="false" outlineLevel="0" collapsed="false">
      <c r="A14" s="0" t="n">
        <v>46</v>
      </c>
      <c r="B14" s="0" t="n">
        <v>42.71925775</v>
      </c>
      <c r="C14" s="0" t="s">
        <v>22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I14" s="0" t="n">
        <v>-0.591412</v>
      </c>
      <c r="K14" s="0" t="n">
        <v>18417</v>
      </c>
      <c r="L14" s="0" t="n">
        <v>14362</v>
      </c>
      <c r="M14" s="0" t="n">
        <v>14877</v>
      </c>
      <c r="N14" s="0" t="n">
        <f aca="false">AVERAGE(K14:M14)</f>
        <v>15885.3333333333</v>
      </c>
      <c r="O14" s="0" t="n">
        <f aca="false">LOG10(N14)</f>
        <v>4.20099633237113</v>
      </c>
    </row>
    <row r="15" customFormat="false" ht="12.8" hidden="false" customHeight="false" outlineLevel="0" collapsed="false">
      <c r="A15" s="0" t="n">
        <v>47</v>
      </c>
      <c r="B15" s="0" t="n">
        <v>75.12158419</v>
      </c>
      <c r="C15" s="0" t="s">
        <v>23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I15" s="0" t="n">
        <v>0.654092</v>
      </c>
      <c r="K15" s="0" t="n">
        <v>725032</v>
      </c>
      <c r="L15" s="0" t="n">
        <v>713129</v>
      </c>
      <c r="M15" s="0" t="n">
        <v>1065845</v>
      </c>
      <c r="N15" s="0" t="n">
        <f aca="false">AVERAGE(K15:M15)</f>
        <v>834668.666666667</v>
      </c>
      <c r="O15" s="0" t="n">
        <f aca="false">LOG10(N15)</f>
        <v>5.92151411045921</v>
      </c>
    </row>
    <row r="16" customFormat="false" ht="12.8" hidden="false" customHeight="false" outlineLevel="0" collapsed="false">
      <c r="A16" s="0" t="n">
        <v>48</v>
      </c>
      <c r="B16" s="0" t="n">
        <v>96.81508493</v>
      </c>
      <c r="C16" s="0" t="s">
        <v>24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I16" s="0" t="n">
        <v>-1.317687</v>
      </c>
      <c r="K16" s="0" t="n">
        <v>2622</v>
      </c>
      <c r="L16" s="0" t="n">
        <v>654</v>
      </c>
      <c r="M16" s="0" t="n">
        <v>2431</v>
      </c>
      <c r="N16" s="0" t="n">
        <f aca="false">AVERAGE(K16:M16)</f>
        <v>1902.33333333333</v>
      </c>
      <c r="O16" s="0" t="n">
        <f aca="false">LOG10(N16)</f>
        <v>3.2792866178293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2025-10-22T14:23:46Z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